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154d9fd6a51c123b/Desktop/Excel/Excel Assignment/"/>
    </mc:Choice>
  </mc:AlternateContent>
  <xr:revisionPtr revIDLastSave="5" documentId="8_{84FFC351-1C31-4B1F-8F67-9BE96D06345C}" xr6:coauthVersionLast="47" xr6:coauthVersionMax="47" xr10:uidLastSave="{F44151E7-EBC2-4309-AF91-34160D68B642}"/>
  <bookViews>
    <workbookView xWindow="-110" yWindow="-110" windowWidth="19420" windowHeight="11500" xr2:uid="{73EFCC5B-6A9B-44D0-A4D2-0933D64963BE}"/>
  </bookViews>
  <sheets>
    <sheet name="DB" sheetId="2" r:id="rId1"/>
    <sheet name="Pivot Tables" sheetId="1" r:id="rId2"/>
  </sheets>
  <definedNames>
    <definedName name="Slicer_Customer_Segment">#N/A</definedName>
    <definedName name="Slicer_Product_Category">#N/A</definedName>
    <definedName name="Slicer_Ship_Mode">#N/A</definedName>
  </definedNames>
  <calcPr calcId="191029"/>
  <pivotCaches>
    <pivotCache cacheId="55" r:id="rId3"/>
    <pivotCache cacheId="58" r:id="rId4"/>
    <pivotCache cacheId="61" r:id="rId5"/>
    <pivotCache cacheId="64"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ad227ce-49c5-45ff-ad0b-a6d9d1b61461" name="Orders" connection="Excel Sales Data Set for Dashboard"/>
          <x15:modelTable id="Returns_8f14b2dc-57f8-4a78-bb75-da5d3dba0c72" name="Returns" connection="Excel Sales Data Set for Dashboard"/>
          <x15:modelTable id="Users_2b6b0027-9b16-45cb-8452-e18b20c356ec" name="Users" connection="Excel Sales Data Set for Dashboard"/>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24F09F-CE48-41FA-87F1-4060A55F7B3E}" name="Excel Sales Data Set for Dashboard" type="100" refreshedVersion="8">
    <extLst>
      <ext xmlns:x15="http://schemas.microsoft.com/office/spreadsheetml/2010/11/main" uri="{DE250136-89BD-433C-8126-D09CA5730AF9}">
        <x15:connection id="575fd31a-eed5-44e3-9b51-5588b91209ae"/>
      </ext>
    </extLst>
  </connection>
  <connection id="2" xr16:uid="{E42E0493-F350-4892-8D48-9E4795AC306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<sst xmlns="http://schemas.openxmlformats.org/spreadsheetml/2006/main" count="33" uniqueCount="25">
  <si>
    <t>Row Labels</t>
  </si>
  <si>
    <t>Delivery Truck</t>
  </si>
  <si>
    <t>Express Air</t>
  </si>
  <si>
    <t>Regular Air</t>
  </si>
  <si>
    <t>Grand Total</t>
  </si>
  <si>
    <t>Shipment Mode</t>
  </si>
  <si>
    <t>California</t>
  </si>
  <si>
    <t>New York</t>
  </si>
  <si>
    <t>Ohio</t>
  </si>
  <si>
    <t>Oregon</t>
  </si>
  <si>
    <t>Texas</t>
  </si>
  <si>
    <t>Washington</t>
  </si>
  <si>
    <t>Sum of Profit</t>
  </si>
  <si>
    <t>Harrison</t>
  </si>
  <si>
    <t>New City</t>
  </si>
  <si>
    <t>Polycom ViewStation™ ISDN Videoconferencing Unit</t>
  </si>
  <si>
    <t>5165</t>
  </si>
  <si>
    <t>Okidata Pacemark 4410N Wide Format Dot Matrix Printer</t>
  </si>
  <si>
    <t>Bangor</t>
  </si>
  <si>
    <t>Cincinnati</t>
  </si>
  <si>
    <t>Greenville</t>
  </si>
  <si>
    <t>Los Angeles</t>
  </si>
  <si>
    <t>Steubenville</t>
  </si>
  <si>
    <t>Thornton</t>
  </si>
  <si>
    <t>Woodburn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</si>
</sst>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3.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Shipment Mode</a:t>
            </a:r>
          </a:p>
        </c:rich>
      </c:tx>
      <c:overlay val="0"/>
      <c:spPr>
        <a:solidFill>
          <a:schemeClr val="tx1">
            <a:lumMod val="65000"/>
            <a:lumOff val="3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noFill/>
          </a:ln>
          <a:effectLst/>
        </c:spPr>
      </c:pivotFmt>
      <c:pivotFmt>
        <c:idx val="7"/>
        <c:spPr>
          <a:solidFill>
            <a:schemeClr val="accent2"/>
          </a:solidFill>
          <a:ln w="19050">
            <a:noFill/>
          </a:ln>
          <a:effectLst/>
        </c:spPr>
      </c:pivotFmt>
      <c:pivotFmt>
        <c:idx val="8"/>
        <c:spPr>
          <a:solidFill>
            <a:schemeClr val="accent2">
              <a:tint val="65000"/>
            </a:schemeClr>
          </a:solidFill>
          <a:ln w="19050">
            <a:noFill/>
          </a:ln>
          <a:effectLst/>
        </c:spPr>
      </c:pivotFmt>
    </c:pivotFmts>
    <c:plotArea>
      <c:layout/>
      <c:pieChart>
        <c:varyColors val="1"/>
        <c:ser>
          <c:idx val="0"/>
          <c:order val="0"/>
          <c:tx>
            <c:strRef>
              <c:f>'Pivot Tables'!$E$12</c:f>
              <c:strCache>
                <c:ptCount val="1"/>
                <c:pt idx="0">
                  <c:v>Total</c:v>
                </c:pt>
              </c:strCache>
            </c:strRef>
          </c:tx>
          <c:spPr>
            <a:ln>
              <a:noFill/>
            </a:ln>
          </c:spPr>
          <c:dPt>
            <c:idx val="0"/>
            <c:bubble3D val="0"/>
            <c:spPr>
              <a:solidFill>
                <a:schemeClr val="accent2">
                  <a:shade val="65000"/>
                </a:schemeClr>
              </a:solidFill>
              <a:ln w="19050">
                <a:noFill/>
              </a:ln>
              <a:effectLst/>
            </c:spPr>
            <c:extLst>
              <c:ext xmlns:c16="http://schemas.microsoft.com/office/drawing/2014/chart" uri="{C3380CC4-5D6E-409C-BE32-E72D297353CC}">
                <c16:uniqueId val="{00000001-588B-467D-9A90-A1F625D0BF7C}"/>
              </c:ext>
            </c:extLst>
          </c:dPt>
          <c:dPt>
            <c:idx val="1"/>
            <c:bubble3D val="0"/>
            <c:spPr>
              <a:solidFill>
                <a:schemeClr val="accent2"/>
              </a:solidFill>
              <a:ln w="19050">
                <a:noFill/>
              </a:ln>
              <a:effectLst/>
            </c:spPr>
            <c:extLst>
              <c:ext xmlns:c16="http://schemas.microsoft.com/office/drawing/2014/chart" uri="{C3380CC4-5D6E-409C-BE32-E72D297353CC}">
                <c16:uniqueId val="{00000003-588B-467D-9A90-A1F625D0BF7C}"/>
              </c:ext>
            </c:extLst>
          </c:dPt>
          <c:dPt>
            <c:idx val="2"/>
            <c:bubble3D val="0"/>
            <c:spPr>
              <a:solidFill>
                <a:schemeClr val="accent2">
                  <a:tint val="65000"/>
                </a:schemeClr>
              </a:solidFill>
              <a:ln w="19050">
                <a:noFill/>
              </a:ln>
              <a:effectLst/>
            </c:spPr>
            <c:extLst>
              <c:ext xmlns:c16="http://schemas.microsoft.com/office/drawing/2014/chart" uri="{C3380CC4-5D6E-409C-BE32-E72D297353CC}">
                <c16:uniqueId val="{00000005-588B-467D-9A90-A1F625D0BF7C}"/>
              </c:ext>
            </c:extLst>
          </c:dPt>
          <c:dLbls>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Tables'!$D$13:$D$16</c:f>
              <c:strCache>
                <c:ptCount val="3"/>
                <c:pt idx="0">
                  <c:v>Delivery Truck</c:v>
                </c:pt>
                <c:pt idx="1">
                  <c:v>Express Air</c:v>
                </c:pt>
                <c:pt idx="2">
                  <c:v>Regular Air</c:v>
                </c:pt>
              </c:strCache>
            </c:strRef>
          </c:cat>
          <c:val>
            <c:numRef>
              <c:f>'Pivot Tables'!$E$13:$E$16</c:f>
              <c:numCache>
                <c:formatCode>General</c:formatCode>
                <c:ptCount val="3"/>
                <c:pt idx="0">
                  <c:v>275</c:v>
                </c:pt>
                <c:pt idx="1">
                  <c:v>240</c:v>
                </c:pt>
                <c:pt idx="2">
                  <c:v>1437</c:v>
                </c:pt>
              </c:numCache>
            </c:numRef>
          </c:val>
          <c:extLst>
            <c:ext xmlns:c16="http://schemas.microsoft.com/office/drawing/2014/chart" uri="{C3380CC4-5D6E-409C-BE32-E72D297353CC}">
              <c16:uniqueId val="{00000006-588B-467D-9A90-A1F625D0BF7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tx1">
            <a:lumMod val="65000"/>
            <a:lumOff val="35000"/>
          </a:schemeClr>
        </a:solid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Tables!PivotTable2</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Top</a:t>
            </a:r>
            <a:r>
              <a:rPr lang="en-US" sz="1600" b="1" baseline="0">
                <a:solidFill>
                  <a:schemeClr val="bg1"/>
                </a:solidFill>
              </a:rPr>
              <a:t> 5 Profitable States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Tables'!$E$4</c:f>
              <c:strCache>
                <c:ptCount val="1"/>
                <c:pt idx="0">
                  <c:v>Total</c:v>
                </c:pt>
              </c:strCache>
            </c:strRef>
          </c:tx>
          <c:spPr>
            <a:solidFill>
              <a:schemeClr val="accent2"/>
            </a:solidFill>
            <a:ln>
              <a:noFill/>
            </a:ln>
            <a:effectLst/>
          </c:spPr>
          <c:invertIfNegative val="0"/>
          <c:cat>
            <c:strRef>
              <c:f>'Pivot Tables'!$D$5:$D$10</c:f>
              <c:strCache>
                <c:ptCount val="5"/>
                <c:pt idx="0">
                  <c:v>Oregon</c:v>
                </c:pt>
                <c:pt idx="1">
                  <c:v>Ohio</c:v>
                </c:pt>
                <c:pt idx="2">
                  <c:v>New York</c:v>
                </c:pt>
                <c:pt idx="3">
                  <c:v>Texas</c:v>
                </c:pt>
                <c:pt idx="4">
                  <c:v>California</c:v>
                </c:pt>
              </c:strCache>
            </c:strRef>
          </c:cat>
          <c:val>
            <c:numRef>
              <c:f>'Pivot Tables'!$E$5:$E$10</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FBDC-488C-AF3A-271C7A6BE147}"/>
            </c:ext>
          </c:extLst>
        </c:ser>
        <c:dLbls>
          <c:showLegendKey val="0"/>
          <c:showVal val="0"/>
          <c:showCatName val="0"/>
          <c:showSerName val="0"/>
          <c:showPercent val="0"/>
          <c:showBubbleSize val="0"/>
        </c:dLbls>
        <c:gapWidth val="182"/>
        <c:axId val="1563722496"/>
        <c:axId val="517117872"/>
      </c:barChart>
      <c:catAx>
        <c:axId val="156372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7117872"/>
        <c:crosses val="autoZero"/>
        <c:auto val="1"/>
        <c:lblAlgn val="ctr"/>
        <c:lblOffset val="100"/>
        <c:noMultiLvlLbl val="0"/>
      </c:catAx>
      <c:valAx>
        <c:axId val="517117872"/>
        <c:scaling>
          <c:orientation val="minMax"/>
        </c:scaling>
        <c:delete val="0"/>
        <c:axPos val="b"/>
        <c:majorGridlines>
          <c:spPr>
            <a:ln w="9525" cap="flat" cmpd="sng" algn="ctr">
              <a:solidFill>
                <a:schemeClr val="bg1">
                  <a:alpha val="23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3722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Tables!PivotTable3</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solidFill>
                  <a:schemeClr val="bg1"/>
                </a:solidFill>
              </a:rPr>
              <a:t>Top</a:t>
            </a:r>
            <a:r>
              <a:rPr lang="en-IN" sz="1600" b="1" baseline="0">
                <a:solidFill>
                  <a:schemeClr val="bg1"/>
                </a:solidFill>
              </a:rPr>
              <a:t> 3 Least Profitable Product</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Tables'!$E$18</c:f>
              <c:strCache>
                <c:ptCount val="1"/>
                <c:pt idx="0">
                  <c:v>Total</c:v>
                </c:pt>
              </c:strCache>
            </c:strRef>
          </c:tx>
          <c:spPr>
            <a:solidFill>
              <a:schemeClr val="accent2"/>
            </a:solidFill>
            <a:ln>
              <a:noFill/>
            </a:ln>
            <a:effectLst/>
          </c:spPr>
          <c:invertIfNegative val="0"/>
          <c:cat>
            <c:strRef>
              <c:f>'Pivot Tables'!$D$19:$D$22</c:f>
              <c:strCache>
                <c:ptCount val="3"/>
                <c:pt idx="0">
                  <c:v>Okidata Pacemark 4410N Wide Format Dot Matrix Printer</c:v>
                </c:pt>
                <c:pt idx="1">
                  <c:v>5165</c:v>
                </c:pt>
                <c:pt idx="2">
                  <c:v>Polycom ViewStation™ ISDN Videoconferencing Unit</c:v>
                </c:pt>
              </c:strCache>
            </c:strRef>
          </c:cat>
          <c:val>
            <c:numRef>
              <c:f>'Pivot Tables'!$E$19:$E$22</c:f>
              <c:numCache>
                <c:formatCode>General</c:formatCode>
                <c:ptCount val="3"/>
                <c:pt idx="0">
                  <c:v>-10999.533191999999</c:v>
                </c:pt>
                <c:pt idx="1">
                  <c:v>-12548.946099999999</c:v>
                </c:pt>
                <c:pt idx="2">
                  <c:v>-27621.245408000002</c:v>
                </c:pt>
              </c:numCache>
            </c:numRef>
          </c:val>
          <c:extLst>
            <c:ext xmlns:c16="http://schemas.microsoft.com/office/drawing/2014/chart" uri="{C3380CC4-5D6E-409C-BE32-E72D297353CC}">
              <c16:uniqueId val="{00000000-F036-4EF8-ABD0-78324F1770ED}"/>
            </c:ext>
          </c:extLst>
        </c:ser>
        <c:dLbls>
          <c:showLegendKey val="0"/>
          <c:showVal val="0"/>
          <c:showCatName val="0"/>
          <c:showSerName val="0"/>
          <c:showPercent val="0"/>
          <c:showBubbleSize val="0"/>
        </c:dLbls>
        <c:gapWidth val="182"/>
        <c:axId val="164897408"/>
        <c:axId val="164898848"/>
      </c:barChart>
      <c:catAx>
        <c:axId val="16489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4898848"/>
        <c:crosses val="autoZero"/>
        <c:auto val="1"/>
        <c:lblAlgn val="ctr"/>
        <c:lblOffset val="100"/>
        <c:noMultiLvlLbl val="0"/>
      </c:catAx>
      <c:valAx>
        <c:axId val="164898848"/>
        <c:scaling>
          <c:orientation val="minMax"/>
        </c:scaling>
        <c:delete val="0"/>
        <c:axPos val="b"/>
        <c:majorGridlines>
          <c:spPr>
            <a:ln w="9525" cap="flat" cmpd="sng" algn="ctr">
              <a:solidFill>
                <a:schemeClr val="bg1">
                  <a:alpha val="2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89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Tables!PivotTable4</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t>Top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glow rad="63500">
              <a:schemeClr val="accent1">
                <a:satMod val="175000"/>
                <a:alpha val="40000"/>
              </a:schemeClr>
            </a:glow>
          </a:effectLst>
          <a:scene3d>
            <a:camera prst="orthographicFront"/>
            <a:lightRig rig="threePt" dir="t"/>
          </a:scene3d>
          <a:sp3d prstMaterial="matte">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Tables'!$H$8</c:f>
              <c:strCache>
                <c:ptCount val="1"/>
                <c:pt idx="0">
                  <c:v>Total</c:v>
                </c:pt>
              </c:strCache>
            </c:strRef>
          </c:tx>
          <c:spPr>
            <a:solidFill>
              <a:schemeClr val="accent2"/>
            </a:solidFill>
            <a:ln>
              <a:noFill/>
            </a:ln>
            <a:effectLst>
              <a:glow rad="63500">
                <a:schemeClr val="accent1">
                  <a:satMod val="175000"/>
                  <a:alpha val="40000"/>
                </a:schemeClr>
              </a:glow>
            </a:effectLst>
            <a:scene3d>
              <a:camera prst="orthographicFront"/>
              <a:lightRig rig="threePt" dir="t"/>
            </a:scene3d>
            <a:sp3d prstMaterial="matte">
              <a:bevelB/>
            </a:sp3d>
          </c:spPr>
          <c:invertIfNegative val="0"/>
          <c:cat>
            <c:strRef>
              <c:f>'Pivot Tables'!$G$9:$G$19</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Tables'!$H$9:$H$19</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5504-4F1A-84C2-1E21722EEA1C}"/>
            </c:ext>
          </c:extLst>
        </c:ser>
        <c:dLbls>
          <c:showLegendKey val="0"/>
          <c:showVal val="0"/>
          <c:showCatName val="0"/>
          <c:showSerName val="0"/>
          <c:showPercent val="0"/>
          <c:showBubbleSize val="0"/>
        </c:dLbls>
        <c:gapWidth val="219"/>
        <c:overlap val="-27"/>
        <c:axId val="1650290336"/>
        <c:axId val="1650291296"/>
      </c:barChart>
      <c:catAx>
        <c:axId val="16502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291296"/>
        <c:crosses val="autoZero"/>
        <c:auto val="1"/>
        <c:lblAlgn val="ctr"/>
        <c:lblOffset val="100"/>
        <c:noMultiLvlLbl val="0"/>
      </c:catAx>
      <c:valAx>
        <c:axId val="1650291296"/>
        <c:scaling>
          <c:orientation val="minMax"/>
        </c:scaling>
        <c:delete val="0"/>
        <c:axPos val="l"/>
        <c:majorGridlines>
          <c:spPr>
            <a:ln w="9525" cap="flat" cmpd="sng" algn="ctr">
              <a:solidFill>
                <a:schemeClr val="bg1">
                  <a:alpha val="26000"/>
                </a:schemeClr>
              </a:solidFill>
              <a:round/>
            </a:ln>
            <a:effectLst>
              <a:outerShdw blurRad="50800" dist="38100" dir="2700000" algn="tl" rotWithShape="0">
                <a:prstClr val="black">
                  <a:alpha val="40000"/>
                </a:prstClr>
              </a:outerShdw>
              <a:softEdge rad="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0290336"/>
        <c:crosses val="autoZero"/>
        <c:crossBetween val="between"/>
      </c:valAx>
      <c:dTable>
        <c:showHorzBorder val="1"/>
        <c:showVertBorder val="1"/>
        <c:showOutline val="1"/>
        <c:showKeys val="1"/>
        <c:spPr>
          <a:noFill/>
          <a:ln w="9525" cap="flat" cmpd="sng" algn="ctr">
            <a:solidFill>
              <a:schemeClr val="bg1"/>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2</xdr:row>
      <xdr:rowOff>114300</xdr:rowOff>
    </xdr:from>
    <xdr:to>
      <xdr:col>6</xdr:col>
      <xdr:colOff>444500</xdr:colOff>
      <xdr:row>15</xdr:row>
      <xdr:rowOff>117928</xdr:rowOff>
    </xdr:to>
    <xdr:graphicFrame macro="">
      <xdr:nvGraphicFramePr>
        <xdr:cNvPr id="2" name="Chart 1">
          <a:extLst>
            <a:ext uri="{FF2B5EF4-FFF2-40B4-BE49-F238E27FC236}">
              <a16:creationId xmlns:a16="http://schemas.microsoft.com/office/drawing/2014/main" id="{BCCCAB5C-BEE2-4CB7-9341-933BDBEA8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535215</xdr:colOff>
      <xdr:row>2</xdr:row>
      <xdr:rowOff>127000</xdr:rowOff>
    </xdr:from>
    <xdr:to>
      <xdr:col>16</xdr:col>
      <xdr:colOff>99785</xdr:colOff>
      <xdr:row>15</xdr:row>
      <xdr:rowOff>108857</xdr:rowOff>
    </xdr:to>
    <xdr:graphicFrame macro="">
      <xdr:nvGraphicFramePr>
        <xdr:cNvPr id="3" name="Chart 2">
          <a:extLst>
            <a:ext uri="{FF2B5EF4-FFF2-40B4-BE49-F238E27FC236}">
              <a16:creationId xmlns:a16="http://schemas.microsoft.com/office/drawing/2014/main" id="{869B2483-E26D-4628-946B-93C99CE23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175985</xdr:colOff>
      <xdr:row>16</xdr:row>
      <xdr:rowOff>9072</xdr:rowOff>
    </xdr:from>
    <xdr:to>
      <xdr:col>6</xdr:col>
      <xdr:colOff>444500</xdr:colOff>
      <xdr:row>29</xdr:row>
      <xdr:rowOff>99785</xdr:rowOff>
    </xdr:to>
    <xdr:graphicFrame macro="">
      <xdr:nvGraphicFramePr>
        <xdr:cNvPr id="4" name="Chart 3">
          <a:extLst>
            <a:ext uri="{FF2B5EF4-FFF2-40B4-BE49-F238E27FC236}">
              <a16:creationId xmlns:a16="http://schemas.microsoft.com/office/drawing/2014/main" id="{14F4499D-91C9-484D-B880-9EEE061B9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545192</xdr:colOff>
      <xdr:row>15</xdr:row>
      <xdr:rowOff>172357</xdr:rowOff>
    </xdr:from>
    <xdr:to>
      <xdr:col>16</xdr:col>
      <xdr:colOff>107043</xdr:colOff>
      <xdr:row>29</xdr:row>
      <xdr:rowOff>117929</xdr:rowOff>
    </xdr:to>
    <xdr:graphicFrame macro="">
      <xdr:nvGraphicFramePr>
        <xdr:cNvPr id="5" name="Chart 4">
          <a:extLst>
            <a:ext uri="{FF2B5EF4-FFF2-40B4-BE49-F238E27FC236}">
              <a16:creationId xmlns:a16="http://schemas.microsoft.com/office/drawing/2014/main" id="{CE80010F-5557-49A4-87A2-C88B433B6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154263</xdr:colOff>
      <xdr:row>21</xdr:row>
      <xdr:rowOff>126999</xdr:rowOff>
    </xdr:from>
    <xdr:to>
      <xdr:col>19</xdr:col>
      <xdr:colOff>127000</xdr:colOff>
      <xdr:row>29</xdr:row>
      <xdr:rowOff>100263</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1E75A879-6828-2EAF-3AA7-2E2C0D7A870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852445" y="4066885"/>
              <a:ext cx="1791146" cy="1474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148247</xdr:colOff>
      <xdr:row>2</xdr:row>
      <xdr:rowOff>133829</xdr:rowOff>
    </xdr:from>
    <xdr:to>
      <xdr:col>19</xdr:col>
      <xdr:colOff>107424</xdr:colOff>
      <xdr:row>10</xdr:row>
      <xdr:rowOff>180474</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0CD12A9E-F171-AD23-03F9-FFB69ED6E24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846429" y="509056"/>
              <a:ext cx="1777586" cy="1547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163763</xdr:colOff>
      <xdr:row>11</xdr:row>
      <xdr:rowOff>78541</xdr:rowOff>
    </xdr:from>
    <xdr:to>
      <xdr:col>19</xdr:col>
      <xdr:colOff>120316</xdr:colOff>
      <xdr:row>21</xdr:row>
      <xdr:rowOff>40105</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0DE9B6A9-0E11-3338-A63F-F6F9FA7FF19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9861945" y="2142291"/>
              <a:ext cx="1774962" cy="183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187157</xdr:colOff>
      <xdr:row>0</xdr:row>
      <xdr:rowOff>86894</xdr:rowOff>
    </xdr:from>
    <xdr:to>
      <xdr:col>19</xdr:col>
      <xdr:colOff>93578</xdr:colOff>
      <xdr:row>2</xdr:row>
      <xdr:rowOff>93578</xdr:rowOff>
    </xdr:to>
    <xdr:sp macro="" textlink="">
      <xdr:nvSpPr>
        <xdr:cNvPr id="9" name="Rectangle 8">
          <a:extLst>
            <a:ext uri="{FF2B5EF4-FFF2-40B4-BE49-F238E27FC236}">
              <a16:creationId xmlns:a16="http://schemas.microsoft.com/office/drawing/2014/main" id="{1394FEB7-ABA7-719F-E1CA-44576B29480B}"/>
            </a:ext>
          </a:extLst>
        </xdr:cNvPr>
        <xdr:cNvSpPr/>
      </xdr:nvSpPr>
      <xdr:spPr>
        <a:xfrm>
          <a:off x="187157" y="86894"/>
          <a:ext cx="11463421" cy="3810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shu" refreshedDate="45964.94889097222" createdVersion="5" refreshedVersion="8" minRefreshableVersion="3" recordCount="0" supportSubquery="1" supportAdvancedDrill="1" xr:uid="{E35C3B84-A434-49C3-8C77-017079BF5832}">
  <cacheSource type="external" connectionId="2"/>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F26]" caption="F26" attribute="1" defaultMemberUniqueName="[Orders].[F26].[All]" allUniqueName="[Orders].[F26].[All]" dimensionUniqueName="[Orders]" displayFolder="" count="2" memberValueDatatype="130" unbalanced="0"/>
    <cacheHierarchy uniqueName="[Orders].[F27]" caption="F27" attribute="1" defaultMemberUniqueName="[Orders].[F27].[All]" allUniqueName="[Orders].[F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shu" refreshedDate="45964.948891550928" createdVersion="5" refreshedVersion="8" minRefreshableVersion="3" recordCount="0" supportSubquery="1" supportAdvancedDrill="1" xr:uid="{262686E5-6C19-40E8-B15E-861A4B36F9E2}">
  <cacheSource type="external" connectionId="2"/>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35"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shu" refreshedDate="45964.948892129629" createdVersion="5" refreshedVersion="8" minRefreshableVersion="3" recordCount="0" supportSubquery="1" supportAdvancedDrill="1" xr:uid="{B444AE64-9612-43F9-89D8-133DAAEBBFC0}">
  <cacheSource type="external" connectionId="2"/>
  <cacheFields count="4">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shu" refreshedDate="45964.948892592591" createdVersion="5" refreshedVersion="8" minRefreshableVersion="3" recordCount="0" supportSubquery="1" supportAdvancedDrill="1" xr:uid="{BAF68C69-25CE-4D3E-87B1-66A5BB43DE6C}">
  <cacheSource type="external" connectionId="2"/>
  <cacheFields count="5">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eshu" refreshedDate="45952.520283333331" createdVersion="3" refreshedVersion="8" minRefreshableVersion="3" recordCount="0" supportSubquery="1" supportAdvancedDrill="1" xr:uid="{6D193D9F-9FE4-4456-A322-13741C040565}">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F26]" caption="F26" attribute="1" defaultMemberUniqueName="[Orders].[F26].[All]" allUniqueName="[Orders].[F26].[All]" dimensionUniqueName="[Orders]" displayFolder="" count="0" memberValueDatatype="130" unbalanced="0"/>
    <cacheHierarchy uniqueName="[Orders].[F27]" caption="F27" attribute="1" defaultMemberUniqueName="[Orders].[F27].[All]" allUniqueName="[Orders].[F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7695158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2566E2-C478-4A84-AFB5-9FBD74382DD8}" name="PivotTable3" cacheId="61" applyNumberFormats="0" applyBorderFormats="0" applyFontFormats="0" applyPatternFormats="0" applyAlignmentFormats="0" applyWidthHeightFormats="1" dataCaption="Values" tag="c8c212cc-d086-4777-a762-7eb61d7fd58f" updatedVersion="8" minRefreshableVersion="3" useAutoFormatting="1" subtotalHiddenItems="1" itemPrintTitles="1" createdVersion="5" indent="0" outline="1" outlineData="1" multipleFieldFilters="0" chartFormat="18">
  <location ref="D18:E22"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1"/>
    </i>
    <i>
      <x/>
    </i>
    <i>
      <x v="2"/>
    </i>
    <i t="grand">
      <x/>
    </i>
  </rowItems>
  <colItems count="1">
    <i/>
  </colItems>
  <dataFields count="1">
    <dataField name="Sum of Profit" fld="1" baseField="0" baseItem="0"/>
  </dataFields>
  <chartFormats count="4">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ipment Mode"/>
    <pivotHierarchy dragToData="1"/>
  </pivotHierarchies>
  <pivotTableStyleInfo name="PivotStyleLight16" showRowHeaders="1" showColHeaders="1" showRowStripes="0" showColStripes="0" showLastColumn="1"/>
  <filters count="2">
    <filter fld="2" type="count" id="3" iMeasureHier="36">
      <autoFilter ref="A1">
        <filterColumn colId="0">
          <top10 top="0" val="3" filterVal="3"/>
        </filterColumn>
      </autoFilter>
    </filter>
    <filter fld="0" type="count" id="1" iMeasureHier="36">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7E9ECC-89E6-4205-9DF1-146265DCDC59}" name="PivotTable2" cacheId="55" applyNumberFormats="0" applyBorderFormats="0" applyFontFormats="0" applyPatternFormats="0" applyAlignmentFormats="0" applyWidthHeightFormats="1" dataCaption="Values" tag="0d0c44e8-3a37-429d-b1bc-19e2943169df" updatedVersion="8" minRefreshableVersion="3" useAutoFormatting="1" subtotalHiddenItems="1" itemPrintTitles="1" createdVersion="5" indent="0" outline="1" outlineData="1" multipleFieldFilters="0" chartFormat="15">
  <location ref="D4:E1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ipment Mode"/>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586D8-0289-4373-B7A1-F17733EA9508}" name="PivotTable1" cacheId="58" applyNumberFormats="0" applyBorderFormats="0" applyFontFormats="0" applyPatternFormats="0" applyAlignmentFormats="0" applyWidthHeightFormats="1" dataCaption="Values" tag="b49e9f1f-d0aa-4558-af5c-22859b882fca" updatedVersion="8" minRefreshableVersion="3" useAutoFormatting="1" subtotalHiddenItems="1" itemPrintTitles="1" createdVersion="5" indent="0" outline="1" outlineData="1" multipleFieldFilters="0" chartFormat="7">
  <location ref="D12:E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hipment Mode" fld="1" subtotal="count" baseField="0" baseItem="2"/>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ipment Mode"/>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7BD83-0C00-49F1-B742-E6436E27BBE0}" name="PivotTable4" cacheId="64" applyNumberFormats="0" applyBorderFormats="0" applyFontFormats="0" applyPatternFormats="0" applyAlignmentFormats="0" applyWidthHeightFormats="1" dataCaption="Values" tag="4b2b3db2-30b6-4be4-b75f-813fa0b0ace8" updatedVersion="8" minRefreshableVersion="3" useAutoFormatting="1" subtotalHiddenItems="1" itemPrintTitles="1" createdVersion="5" indent="0" outline="1" outlineData="1" multipleFieldFilters="0" chartFormat="24">
  <location ref="G8:H19" firstHeaderRow="1" firstDataRow="1" firstDataCol="1"/>
  <pivotFields count="5">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8"/>
    </i>
    <i>
      <x v="7"/>
    </i>
    <i>
      <x v="5"/>
    </i>
    <i>
      <x v="3"/>
    </i>
    <i>
      <x v="2"/>
    </i>
    <i>
      <x v="4"/>
    </i>
    <i>
      <x v="9"/>
    </i>
    <i>
      <x v="1"/>
    </i>
    <i>
      <x/>
    </i>
    <i>
      <x v="6"/>
    </i>
    <i t="grand">
      <x/>
    </i>
  </rowItems>
  <colItems count="1">
    <i/>
  </colItems>
  <dataFields count="1">
    <dataField name="Sum of Profit" fld="1" baseField="0" baseItem="0"/>
  </dataFields>
  <chartFormats count="7">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ipment Mode"/>
    <pivotHierarchy dragToData="1"/>
  </pivotHierarchies>
  <pivotTableStyleInfo name="PivotStyleLight16" showRowHeaders="1" showColHeaders="1" showRowStripes="0" showColStripes="0" showLastColumn="1"/>
  <filters count="3">
    <filter fld="0" type="count" id="1" iMeasureHier="36">
      <autoFilter ref="A1">
        <filterColumn colId="0">
          <top10 val="5" filterVal="5"/>
        </filterColumn>
      </autoFilter>
    </filter>
    <filter fld="2" type="count" id="3" iMeasureHier="36">
      <autoFilter ref="A1">
        <filterColumn colId="0">
          <top10 top="0" val="3" filterVal="3"/>
        </filterColumn>
      </autoFilter>
    </filter>
    <filter fld="3" type="count" id="4"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1AB462C-FD76-4993-86B6-AC51B0168527}" sourceName="[Orders].[Product Category]">
  <pivotTables>
    <pivotTable tabId="1" name="PivotTable2"/>
    <pivotTable tabId="1" name="PivotTable1"/>
    <pivotTable tabId="1" name="PivotTable3"/>
    <pivotTable tabId="1" name="PivotTable4"/>
  </pivotTables>
  <data>
    <olap pivotCacheId="769515826">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65658C1-D1A5-4428-9C6C-0BE0CAFFBDDF}" sourceName="[Orders].[Ship Mode]">
  <pivotTables>
    <pivotTable tabId="1" name="PivotTable2"/>
    <pivotTable tabId="1" name="PivotTable1"/>
    <pivotTable tabId="1" name="PivotTable3"/>
    <pivotTable tabId="1" name="PivotTable4"/>
  </pivotTables>
  <data>
    <olap pivotCacheId="769515826">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294D8AA-143F-4361-AE0B-4650BD2C922D}" sourceName="[Orders].[Customer Segment]">
  <pivotTables>
    <pivotTable tabId="1" name="PivotTable2"/>
    <pivotTable tabId="1" name="PivotTable1"/>
    <pivotTable tabId="1" name="PivotTable3"/>
    <pivotTable tabId="1" name="PivotTable4"/>
  </pivotTables>
  <data>
    <olap pivotCacheId="769515826">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DB55AC6-9CE3-43ED-8AB5-294CD986DDE9}" cache="Slicer_Product_Category" caption="Product Category" level="1" style="SlicerStyleLight2" rowHeight="251883"/>
  <slicer name="Ship Mode" xr10:uid="{888E9013-B8A6-44D1-B78B-90BBD981951C}" cache="Slicer_Ship_Mode" caption="Ship Mode" level="1" style="SlicerStyleLight2" rowHeight="251883"/>
  <slicer name="Customer Segment" xr10:uid="{7452F36F-865B-4958-B8D9-9E6EC8126C32}" cache="Slicer_Customer_Segment" caption="Customer Segment" level="1" style="SlicerStyleLight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477C-2260-4CB8-873A-5C55ED5200EA}">
  <dimension ref="A1"/>
  <sheetViews>
    <sheetView showGridLines="0" tabSelected="1" zoomScale="88" zoomScaleNormal="88" workbookViewId="0">
      <selection activeCell="U11" sqref="U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6AE2-8C0D-4E11-8E86-6BB9EAE40A49}">
  <dimension ref="D4:H22"/>
  <sheetViews>
    <sheetView workbookViewId="0">
      <selection activeCell="J12" sqref="J12"/>
    </sheetView>
  </sheetViews>
  <sheetFormatPr defaultRowHeight="14.5" x14ac:dyDescent="0.35"/>
  <cols>
    <col min="1" max="1" width="12.453125" bestFit="1" customWidth="1"/>
    <col min="2" max="2" width="14" bestFit="1" customWidth="1"/>
    <col min="4" max="4" width="47.26953125" bestFit="1" customWidth="1"/>
    <col min="5" max="5" width="12.453125" bestFit="1" customWidth="1"/>
    <col min="7" max="7" width="12.453125" bestFit="1" customWidth="1"/>
    <col min="8" max="8" width="11.81640625" bestFit="1" customWidth="1"/>
  </cols>
  <sheetData>
    <row r="4" spans="4:8" x14ac:dyDescent="0.35">
      <c r="D4" s="1" t="s">
        <v>0</v>
      </c>
      <c r="E4" t="s">
        <v>12</v>
      </c>
    </row>
    <row r="5" spans="4:8" x14ac:dyDescent="0.35">
      <c r="D5" s="2" t="s">
        <v>9</v>
      </c>
      <c r="E5" s="3">
        <v>17931.043399999999</v>
      </c>
    </row>
    <row r="6" spans="4:8" x14ac:dyDescent="0.35">
      <c r="D6" s="2" t="s">
        <v>8</v>
      </c>
      <c r="E6" s="3">
        <v>23410.842026000017</v>
      </c>
    </row>
    <row r="7" spans="4:8" x14ac:dyDescent="0.35">
      <c r="D7" s="2" t="s">
        <v>7</v>
      </c>
      <c r="E7" s="3">
        <v>27611.943318599984</v>
      </c>
    </row>
    <row r="8" spans="4:8" x14ac:dyDescent="0.35">
      <c r="D8" s="2" t="s">
        <v>10</v>
      </c>
      <c r="E8" s="3">
        <v>28078.85066</v>
      </c>
      <c r="G8" s="1" t="s">
        <v>0</v>
      </c>
      <c r="H8" t="s">
        <v>12</v>
      </c>
    </row>
    <row r="9" spans="4:8" x14ac:dyDescent="0.35">
      <c r="D9" s="2" t="s">
        <v>6</v>
      </c>
      <c r="E9" s="3">
        <v>37421.96019200002</v>
      </c>
      <c r="G9" s="2" t="s">
        <v>11</v>
      </c>
      <c r="H9" s="3">
        <v>11677.363099999999</v>
      </c>
    </row>
    <row r="10" spans="4:8" x14ac:dyDescent="0.35">
      <c r="D10" s="2" t="s">
        <v>4</v>
      </c>
      <c r="E10" s="3">
        <v>134454.63959660014</v>
      </c>
      <c r="G10" s="2" t="s">
        <v>23</v>
      </c>
      <c r="H10" s="3">
        <v>9300.3400999999976</v>
      </c>
    </row>
    <row r="11" spans="4:8" x14ac:dyDescent="0.35">
      <c r="G11" s="2" t="s">
        <v>14</v>
      </c>
      <c r="H11" s="3">
        <v>9243.2576999999983</v>
      </c>
    </row>
    <row r="12" spans="4:8" x14ac:dyDescent="0.35">
      <c r="D12" s="1" t="s">
        <v>0</v>
      </c>
      <c r="E12" t="s">
        <v>5</v>
      </c>
      <c r="G12" s="2" t="s">
        <v>13</v>
      </c>
      <c r="H12" s="3">
        <v>8839.2294599999987</v>
      </c>
    </row>
    <row r="13" spans="4:8" x14ac:dyDescent="0.35">
      <c r="D13" s="2" t="s">
        <v>1</v>
      </c>
      <c r="E13" s="3">
        <v>275</v>
      </c>
      <c r="G13" s="2" t="s">
        <v>20</v>
      </c>
      <c r="H13" s="3">
        <v>8658.9505800000006</v>
      </c>
    </row>
    <row r="14" spans="4:8" x14ac:dyDescent="0.35">
      <c r="D14" s="2" t="s">
        <v>2</v>
      </c>
      <c r="E14" s="3">
        <v>240</v>
      </c>
      <c r="G14" s="2" t="s">
        <v>21</v>
      </c>
      <c r="H14" s="3">
        <v>7865.8371799999986</v>
      </c>
    </row>
    <row r="15" spans="4:8" x14ac:dyDescent="0.35">
      <c r="D15" s="2" t="s">
        <v>3</v>
      </c>
      <c r="E15" s="3">
        <v>1437</v>
      </c>
      <c r="G15" s="2" t="s">
        <v>24</v>
      </c>
      <c r="H15" s="3">
        <v>7495.0609999999997</v>
      </c>
    </row>
    <row r="16" spans="4:8" x14ac:dyDescent="0.35">
      <c r="D16" s="2" t="s">
        <v>4</v>
      </c>
      <c r="E16" s="3">
        <v>1952</v>
      </c>
      <c r="G16" s="2" t="s">
        <v>19</v>
      </c>
      <c r="H16" s="3">
        <v>7257.7599999999993</v>
      </c>
    </row>
    <row r="17" spans="4:8" x14ac:dyDescent="0.35">
      <c r="G17" s="2" t="s">
        <v>18</v>
      </c>
      <c r="H17" s="3">
        <v>7139.130149999999</v>
      </c>
    </row>
    <row r="18" spans="4:8" x14ac:dyDescent="0.35">
      <c r="D18" s="1" t="s">
        <v>0</v>
      </c>
      <c r="E18" t="s">
        <v>12</v>
      </c>
      <c r="G18" s="2" t="s">
        <v>22</v>
      </c>
      <c r="H18" s="3">
        <v>6621.0019999999995</v>
      </c>
    </row>
    <row r="19" spans="4:8" x14ac:dyDescent="0.35">
      <c r="D19" s="2" t="s">
        <v>17</v>
      </c>
      <c r="E19" s="3">
        <v>-10999.533191999999</v>
      </c>
      <c r="G19" s="2" t="s">
        <v>4</v>
      </c>
      <c r="H19" s="3">
        <v>84097.931269999986</v>
      </c>
    </row>
    <row r="20" spans="4:8" x14ac:dyDescent="0.35">
      <c r="D20" s="2" t="s">
        <v>16</v>
      </c>
      <c r="E20" s="3">
        <v>-12548.946099999999</v>
      </c>
    </row>
    <row r="21" spans="4:8" x14ac:dyDescent="0.35">
      <c r="D21" s="2" t="s">
        <v>15</v>
      </c>
      <c r="E21" s="3">
        <v>-27621.245408000002</v>
      </c>
    </row>
    <row r="22" spans="4:8" x14ac:dyDescent="0.35">
      <c r="D22" s="2" t="s">
        <v>4</v>
      </c>
      <c r="E22" s="3">
        <v>-51169.724699999999</v>
      </c>
    </row>
  </sheetData>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8D23C38-66E7-428F-8904-0AD337637FB1}">
  <ds:schemaRefs/>
</ds:datastoreItem>
</file>

<file path=customXml/itemProps2.xml><?xml version="1.0" encoding="utf-8"?>
<ds:datastoreItem xmlns:ds="http://schemas.openxmlformats.org/officeDocument/2006/customXml" ds:itemID="{55170D38-9C46-4415-B898-633DF6682B88}">
  <ds:schemaRefs/>
</ds:datastoreItem>
</file>

<file path=customXml/itemProps3.xml><?xml version="1.0" encoding="utf-8"?>
<ds:datastoreItem xmlns:ds="http://schemas.openxmlformats.org/officeDocument/2006/customXml" ds:itemID="{45A28CF3-7EF6-45DD-B66A-5D829F315825}">
  <ds:schemaRefs/>
</ds:datastoreItem>
</file>

<file path=customXml/itemProps4.xml><?xml version="1.0" encoding="utf-8"?>
<ds:datastoreItem xmlns:ds="http://schemas.openxmlformats.org/officeDocument/2006/customXml" ds:itemID="{B5FFD54F-1F18-4E61-B5F7-2ABE51DA5ED8}">
  <ds:schemaRefs/>
</ds:datastoreItem>
</file>

<file path=customXml/itemProps5.xml><?xml version="1.0" encoding="utf-8"?>
<ds:datastoreItem xmlns:ds="http://schemas.openxmlformats.org/officeDocument/2006/customXml" ds:itemID="{FEF3961C-EE58-427C-ACF8-1B10CF5013C5}">
  <ds:schemaRefs/>
</ds:datastoreItem>
</file>

<file path=customXml/itemProps6.xml><?xml version="1.0" encoding="utf-8"?>
<ds:datastoreItem xmlns:ds="http://schemas.openxmlformats.org/officeDocument/2006/customXml" ds:itemID="{BF12E0E1-D5E1-4DCA-ABAB-96BE0B130F34}">
  <ds:schemaRefs/>
</ds:datastoreItem>
</file>

<file path=customXml/itemProps7.xml><?xml version="1.0" encoding="utf-8"?>
<ds:datastoreItem xmlns:ds="http://schemas.openxmlformats.org/officeDocument/2006/customXml" ds:itemID="{818A3E16-6551-4023-817F-1B170FBA90E0}">
  <ds:schemaRefs/>
</ds:datastoreItem>
</file>

<file path=customXml/itemProps8.xml><?xml version="1.0" encoding="utf-8"?>
<ds:datastoreItem xmlns:ds="http://schemas.openxmlformats.org/officeDocument/2006/customXml" ds:itemID="{0450ADEF-A340-4CE2-A17F-D392F93B44B3}">
  <ds:schemaRefs/>
</ds:datastoreItem>
</file>

<file path=customXml/itemProps9.xml><?xml version="1.0" encoding="utf-8"?>
<ds:datastoreItem xmlns:ds="http://schemas.openxmlformats.org/officeDocument/2006/customXml" ds:itemID="{8C6D888F-AC82-4B1A-B81D-CF2950352BBB}">
  <ds:schemaRefs/>
</ds:datastoreItem>
</file>

<file path=customXml/itemProps10.xml><?xml version="1.0" encoding="utf-8"?>
<ds:datastoreItem xmlns:ds="http://schemas.openxmlformats.org/officeDocument/2006/customXml" ds:itemID="{8049E0A0-341D-4536-BE71-420096847AAA}">
  <ds:schemaRefs/>
</ds:datastoreItem>
</file>

<file path=customXml/itemProps11.xml><?xml version="1.0" encoding="utf-8"?>
<ds:datastoreItem xmlns:ds="http://schemas.openxmlformats.org/officeDocument/2006/customXml" ds:itemID="{42E6F1A1-FC27-4DD9-A61B-BB0EC2026893}">
  <ds:schemaRefs/>
</ds:datastoreItem>
</file>

<file path=customXml/itemProps12.xml><?xml version="1.0" encoding="utf-8"?>
<ds:datastoreItem xmlns:ds="http://schemas.openxmlformats.org/officeDocument/2006/customXml" ds:itemID="{C8393BB2-337E-493D-A212-DA68927ECE4C}">
  <ds:schemaRefs/>
</ds:datastoreItem>
</file>

<file path=customXml/itemProps13.xml><?xml version="1.0" encoding="utf-8"?>
<ds:datastoreItem xmlns:ds="http://schemas.openxmlformats.org/officeDocument/2006/customXml" ds:itemID="{F74BC69B-BFA7-43AF-89CC-DE4439C033D3}">
  <ds:schemaRefs/>
</ds:datastoreItem>
</file>

<file path=customXml/itemProps14.xml><?xml version="1.0" encoding="utf-8"?>
<ds:datastoreItem xmlns:ds="http://schemas.openxmlformats.org/officeDocument/2006/customXml" ds:itemID="{385846BB-8F34-4170-AF41-B4FFF7D38ABE}">
  <ds:schemaRefs/>
</ds:datastoreItem>
</file>

<file path=customXml/itemProps15.xml><?xml version="1.0" encoding="utf-8"?>
<ds:datastoreItem xmlns:ds="http://schemas.openxmlformats.org/officeDocument/2006/customXml" ds:itemID="{4E6EE1B2-1DEE-4260-974B-31C847D8BFF5}">
  <ds:schemaRefs/>
</ds:datastoreItem>
</file>

<file path=customXml/itemProps16.xml><?xml version="1.0" encoding="utf-8"?>
<ds:datastoreItem xmlns:ds="http://schemas.openxmlformats.org/officeDocument/2006/customXml" ds:itemID="{1B3AD7FB-103C-4FE9-8DCC-109FF8EF8896}">
  <ds:schemaRefs/>
</ds:datastoreItem>
</file>

<file path=customXml/itemProps17.xml><?xml version="1.0" encoding="utf-8"?>
<ds:datastoreItem xmlns:ds="http://schemas.openxmlformats.org/officeDocument/2006/customXml" ds:itemID="{D5BDF11D-6DD4-41E7-BEDB-621B865B9A5D}">
  <ds:schemaRefs/>
</ds:datastoreItem>
</file>

<file path=customXml/itemProps18.xml><?xml version="1.0" encoding="utf-8"?>
<ds:datastoreItem xmlns:ds="http://schemas.openxmlformats.org/officeDocument/2006/customXml" ds:itemID="{46410931-DC3E-42D8-9825-2FF4E842F3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sheshu talari</dc:creator>
  <cp:lastModifiedBy>sheshu talari</cp:lastModifiedBy>
  <dcterms:created xsi:type="dcterms:W3CDTF">2025-10-22T05:32:28Z</dcterms:created>
  <dcterms:modified xsi:type="dcterms:W3CDTF">2025-11-03T17:16:35Z</dcterms:modified>
</cp:coreProperties>
</file>